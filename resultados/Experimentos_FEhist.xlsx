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os" sheetId="1" state="visible" r:id="rId3"/>
    <sheet name="Resultados" sheetId="2" state="visible" r:id="rId4"/>
    <sheet name="Semillas de I" sheetId="3" state="visible" r:id="rId5"/>
    <sheet name="Hipótesis" sheetId="4" state="visible" r:id="rId6"/>
    <sheet name="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<sst xmlns="http://schemas.openxmlformats.org/spreadsheetml/2006/main" count="171" uniqueCount="147">
  <si>
    <t xml:space="preserve">Exp.</t>
  </si>
  <si>
    <t xml:space="preserve">Qué se agrega</t>
  </si>
  <si>
    <t xml:space="preserve">Hipótesis</t>
  </si>
  <si>
    <t xml:space="preserve">Estado al 18/10 11:20</t>
  </si>
  <si>
    <t xml:space="preserve">N° semillas</t>
  </si>
  <si>
    <t xml:space="preserve">Media</t>
  </si>
  <si>
    <t xml:space="preserve">Conclusión</t>
  </si>
  <si>
    <t xml:space="preserve">A</t>
  </si>
  <si>
    <t xml:space="preserve">Nada (línea base).</t>
  </si>
  <si>
    <t xml:space="preserve">Punto de comparación: ¿cuánto rinde el modelo sin variables históricas?</t>
  </si>
  <si>
    <t xml:space="preserve">Terminado</t>
  </si>
  <si>
    <t xml:space="preserve">Es el piso contra el cual se mide todo.</t>
  </si>
  <si>
    <t xml:space="preserve">B</t>
  </si>
  <si>
    <t xml:space="preserve">Lags 1 y 2 + deltas 1 y 2 de cada variable.</t>
  </si>
  <si>
    <t xml:space="preserve">Los valores pasados y sus cambios mejoran la predicción respecto de A.</t>
  </si>
  <si>
    <t xml:space="preserve">Terminado (4 semillas)</t>
  </si>
  <si>
    <t xml:space="preserve">Mejora unos 47 puntos sobre A, pero F muestra que los lags no hacen falta.</t>
  </si>
  <si>
    <t xml:space="preserve">C</t>
  </si>
  <si>
    <t xml:space="preserve">Tendencia: pendiente por mínimos cuadrados, ventana de 6 meses.</t>
  </si>
  <si>
    <t xml:space="preserve">La dirección en que se mueve cada cliente mejora respecto de A.</t>
  </si>
  <si>
    <t xml:space="preserve">Mejora unos 25 puntos sobre A, pero muy por debajo de los deltas.</t>
  </si>
  <si>
    <t xml:space="preserve">D</t>
  </si>
  <si>
    <t xml:space="preserve">Lags + deltas + tendencia.</t>
  </si>
  <si>
    <t xml:space="preserve">Combinar las familias supera a cada una por separado.</t>
  </si>
  <si>
    <t xml:space="preserve">Igual a F: combinar no suma nada sobre los deltas solos.</t>
  </si>
  <si>
    <t xml:space="preserve">E</t>
  </si>
  <si>
    <t xml:space="preserve">Solo lags 1 y 2.</t>
  </si>
  <si>
    <t xml:space="preserve">Los lags solos rinden más que la tendencia.</t>
  </si>
  <si>
    <t xml:space="preserve">2 semillas terminadas; 630901 en curso</t>
  </si>
  <si>
    <t xml:space="preserve">Se rechaza: apenas supera a A (unos 9 puntos) y queda debajo de C.</t>
  </si>
  <si>
    <t xml:space="preserve">F</t>
  </si>
  <si>
    <t xml:space="preserve">Solo deltas 1 y 2.</t>
  </si>
  <si>
    <t xml:space="preserve">Los deltas explican el aporte de B.</t>
  </si>
  <si>
    <t xml:space="preserve">Se apoya: iguala o supera a B y D con la mitad de las variables.</t>
  </si>
  <si>
    <t xml:space="preserve">G</t>
  </si>
  <si>
    <t xml:space="preserve">Tendencia con ventana de 3 meses.</t>
  </si>
  <si>
    <t xml:space="preserve">La elección de la ventana de 6 meses no explica el resultado de C.</t>
  </si>
  <si>
    <t xml:space="preserve">Preparado, sin correr</t>
  </si>
  <si>
    <t xml:space="preserve">Queda como limitación del informe si no se corre.</t>
  </si>
  <si>
    <t xml:space="preserve">H</t>
  </si>
  <si>
    <t xml:space="preserve">Tendencia con ventana de 12 meses.</t>
  </si>
  <si>
    <t xml:space="preserve">Ídem G con ventana larga.</t>
  </si>
  <si>
    <t xml:space="preserve">I</t>
  </si>
  <si>
    <t xml:space="preserve">Tendencia + mínimo, máximo y promedio de la ventana.</t>
  </si>
  <si>
    <t xml:space="preserve">Resumir la ventana con más estadísticos mejora a la tendencia sola.</t>
  </si>
  <si>
    <t xml:space="preserve">Terminado (10 semillas)</t>
  </si>
  <si>
    <t xml:space="preserve">No mejora a C. Los estadísticos absolutos no aportan.</t>
  </si>
  <si>
    <t xml:space="preserve">J</t>
  </si>
  <si>
    <t xml:space="preserve">Tendencia + ratioavg y ratiomax (valor actual / promedio y máximo de la ventana).</t>
  </si>
  <si>
    <t xml:space="preserve">La posición relativa del valor actual aporta más que los valores absolutos.</t>
  </si>
  <si>
    <t xml:space="preserve">1 semilla terminada; 345679 en curso</t>
  </si>
  <si>
    <t xml:space="preserve">Por ahora equivale a C e I. Falta la segunda semilla.</t>
  </si>
  <si>
    <t xml:space="preserve">K</t>
  </si>
  <si>
    <t xml:space="preserve">Cambio relativo contra el mes anterior: valor / valor del mes anterior - 1.</t>
  </si>
  <si>
    <t xml:space="preserve">El cambio porcentual rinde mejor que el delta en pesos.</t>
  </si>
  <si>
    <t xml:space="preserve">1 semilla terminada; 500009 en curso de envío</t>
  </si>
  <si>
    <t xml:space="preserve">Se rechaza por ahora: rinde como C y muy por debajo de F. Importa cuánta plata cambió, no el porcentaje.</t>
  </si>
  <si>
    <t xml:space="preserve">L</t>
  </si>
  <si>
    <t xml:space="preserve">Meses desde la última actividad en 8 variables (débito, Visa, Master, sueldo, homebanking, ATM, app móvil, cajas).</t>
  </si>
  <si>
    <t xml:space="preserve">La inactividad prolongada anticipa la baja.</t>
  </si>
  <si>
    <t xml:space="preserve">En cola</t>
  </si>
  <si>
    <t xml:space="preserve">Pendiente.</t>
  </si>
  <si>
    <t xml:space="preserve">Qué agrega</t>
  </si>
  <si>
    <t xml:space="preserve">102191 (profe)</t>
  </si>
  <si>
    <t xml:space="preserve">130517</t>
  </si>
  <si>
    <t xml:space="preserve">345679</t>
  </si>
  <si>
    <t xml:space="preserve">500009</t>
  </si>
  <si>
    <t xml:space="preserve">630901</t>
  </si>
  <si>
    <t xml:space="preserve">Media sin 102191</t>
  </si>
  <si>
    <t xml:space="preserve">Mínimo</t>
  </si>
  <si>
    <t xml:space="preserve">Máximo</t>
  </si>
  <si>
    <t xml:space="preserve">Nada (línea base)</t>
  </si>
  <si>
    <t xml:space="preserve">Lags 1 y 2 + deltas 1 y 2</t>
  </si>
  <si>
    <t xml:space="preserve">Tendencia (ventana 6 meses)</t>
  </si>
  <si>
    <t xml:space="preserve">Lags + deltas + tendencia</t>
  </si>
  <si>
    <t xml:space="preserve">Solo lags</t>
  </si>
  <si>
    <t xml:space="preserve">Solo deltas</t>
  </si>
  <si>
    <t xml:space="preserve">Tendencia, ventana 3 meses</t>
  </si>
  <si>
    <t xml:space="preserve">Tendencia, ventana 12 meses</t>
  </si>
  <si>
    <t xml:space="preserve">Tendencia + mín, máx y prom de la ventana</t>
  </si>
  <si>
    <t xml:space="preserve">Tendencia + ratioavg + ratiomax</t>
  </si>
  <si>
    <t xml:space="preserve">Cambio relativo contra el mes anterior</t>
  </si>
  <si>
    <t xml:space="preserve">Meses desde la última actividad (8 variables)</t>
  </si>
  <si>
    <t xml:space="preserve">Valores: media de los 9 cortes (8000 a 12000 envíos, de a 500) del puntaje público de Kaggle, por semilla. Azul = dato cargado a mano; verde = vínculo a otra hoja; negro = fórmula.</t>
  </si>
  <si>
    <t xml:space="preserve">Fuente: descargas de 'kaggle competitions submissions' del 18/10/2026. E 345679 se calculó con sus 9 envíos (media de 393,655). Celdas vacías = corrida sin hacer o en curso.</t>
  </si>
  <si>
    <t xml:space="preserve">'Media sin 102191' excluye la semilla del profesor. En la fila I las columnas por semilla son un recorte; la media, el mínimo y el máximo usan las 10 semillas de la hoja 'Semillas de I'.</t>
  </si>
  <si>
    <t xml:space="preserve">Semilla</t>
  </si>
  <si>
    <t xml:space="preserve">Media de 9 cortes</t>
  </si>
  <si>
    <t xml:space="preserve">Desvío</t>
  </si>
  <si>
    <t xml:space="preserve">Rango</t>
  </si>
  <si>
    <t xml:space="preserve">Comparación</t>
  </si>
  <si>
    <t xml:space="preserve">Evidencia</t>
  </si>
  <si>
    <t xml:space="preserve">Veredicto</t>
  </si>
  <si>
    <t xml:space="preserve">Solidez estadística</t>
  </si>
  <si>
    <t xml:space="preserve">Agregar historia mejora respecto de no tenerla</t>
  </si>
  <si>
    <t xml:space="preserve">A contra B, C, D, E, F e I</t>
  </si>
  <si>
    <t xml:space="preserve">A ≈ 390; el resto entre 397 y 441.</t>
  </si>
  <si>
    <t xml:space="preserve">Sostenida</t>
  </si>
  <si>
    <t xml:space="preserve">Diferencias de 25 a 50 puntos, muy por encima del ruido entre semillas (desvío ≈ 7).</t>
  </si>
  <si>
    <t xml:space="preserve">Los lags rinden más que la tendencia</t>
  </si>
  <si>
    <t xml:space="preserve">E contra C</t>
  </si>
  <si>
    <t xml:space="preserve">E ≈ 397; C ≈ 416.</t>
  </si>
  <si>
    <t xml:space="preserve">Rechazada para lags solos</t>
  </si>
  <si>
    <t xml:space="preserve">E tiene 2 semillas (3 cuando termine 630901).</t>
  </si>
  <si>
    <t xml:space="preserve">Lags + deltas rinden más que la tendencia</t>
  </si>
  <si>
    <t xml:space="preserve">B contra C y B contra I</t>
  </si>
  <si>
    <t xml:space="preserve">B ≈ 437; C ≈ 416; I ≈ 415.</t>
  </si>
  <si>
    <t xml:space="preserve">B contra I (4 contra 10 semillas): p ≈ 0,002. D contra C (4 contra 4): p ≈ 0,014.</t>
  </si>
  <si>
    <t xml:space="preserve">Los deltas solos explican la mejora</t>
  </si>
  <si>
    <t xml:space="preserve">F contra B y D</t>
  </si>
  <si>
    <t xml:space="preserve">F ≈ 441; B ≈ 437; D ≈ 440.</t>
  </si>
  <si>
    <t xml:space="preserve">Apoyada</t>
  </si>
  <si>
    <t xml:space="preserve">F contra I (2 contra 10): p ≈ 0,015. Con la tercera semilla mejora.</t>
  </si>
  <si>
    <t xml:space="preserve">Combinar familias mejora respecto de una sola</t>
  </si>
  <si>
    <t xml:space="preserve">D contra F y B</t>
  </si>
  <si>
    <t xml:space="preserve">D ≈ F; D apenas arriba de B.</t>
  </si>
  <si>
    <t xml:space="preserve">Rechazada</t>
  </si>
  <si>
    <t xml:space="preserve">La diferencia D contra F es menor que 1 punto en las dos semillas comunes.</t>
  </si>
  <si>
    <t xml:space="preserve">Resumir la ventana (mín, máx, prom) mejora a la tendencia</t>
  </si>
  <si>
    <t xml:space="preserve">I contra C</t>
  </si>
  <si>
    <t xml:space="preserve">I ≈ 415; C ≈ 416.</t>
  </si>
  <si>
    <t xml:space="preserve">I tiene 10 semillas; sin diferencia.</t>
  </si>
  <si>
    <t xml:space="preserve">Los ratios contra la ventana aportan</t>
  </si>
  <si>
    <t xml:space="preserve">J contra C</t>
  </si>
  <si>
    <t xml:space="preserve">J = 418,0 (500009) contra C = 412,1.</t>
  </si>
  <si>
    <t xml:space="preserve">Sin diferencia aparente</t>
  </si>
  <si>
    <t xml:space="preserve">1 semilla; falta 345679.</t>
  </si>
  <si>
    <t xml:space="preserve">El cambio relativo supera al delta en pesos</t>
  </si>
  <si>
    <t xml:space="preserve">K contra F</t>
  </si>
  <si>
    <t xml:space="preserve">K = 412,0 contra F = 438,9 (semilla 345679).</t>
  </si>
  <si>
    <t xml:space="preserve">Rechazada por ahora</t>
  </si>
  <si>
    <t xml:space="preserve">1 semilla; falta 500009.</t>
  </si>
  <si>
    <t xml:space="preserve">La inactividad prolongada anticipa la baja</t>
  </si>
  <si>
    <t xml:space="preserve">L contra A y B</t>
  </si>
  <si>
    <t xml:space="preserve">Sin resultados.</t>
  </si>
  <si>
    <t xml:space="preserve">Pendiente</t>
  </si>
  <si>
    <t xml:space="preserve">En cola.</t>
  </si>
  <si>
    <t xml:space="preserve">Notas y limitaciones</t>
  </si>
  <si>
    <t xml:space="preserve">Todos los puntajes son del leaderboard público de Kaggle; el privado puede diferir.</t>
  </si>
  <si>
    <t xml:space="preserve">Cada experimento hace su propia búsqueda de hiperparámetros (optimización bayesiana, 50 evaluaciones, AUC en validación 202107), por lo que parte de la diferencia puede venir de ahí.</t>
  </si>
  <si>
    <t xml:space="preserve">La semilla 102191 es la del profesor; por eso se reporta aparte ('Media sin 102191'). Sin ella, A, B, C y D quedan con 3 semillas cada una.</t>
  </si>
  <si>
    <t xml:space="preserve">Partición: entrenamiento 201901 a 202105, validación 202107, entrenamiento final hasta 202107, predicción 202109. Cortes de 8000 a 12000 clientes, de a 500.</t>
  </si>
  <si>
    <t xml:space="preserve">El ruido entre semillas es grande: con la misma configuración (I, 10 semillas) el rango es de unos 25 puntos. Por eso se comparan medias entre semillas y no máximos de un corte.</t>
  </si>
  <si>
    <t xml:space="preserve">El límite de 100 envíos diarios de Kaggle (se renueva a las 21:00, Buenos Aires) retrasó algunos envíos, que se subieron a mano después.</t>
  </si>
  <si>
    <t xml:space="preserve">La descarga del listado de Kaggle se corta en 200 filas; los valores de las corridas viejas provienen de descargas anteriores.</t>
  </si>
  <si>
    <t xml:space="preserve">Los textos de las hojas 'Experimentos' e 'Hipótesis' reflejan el estado al 18/10/2026 11:20 (hora de Buenos Aires); los números de 'Resultados' son los de referencia.</t>
  </si>
  <si>
    <t xml:space="preserve">Pendientes: J 345679, K 500009 (envíos), L (2 semillas), E y F con 630901, y G y H si hay tiempo.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</si>
</sst>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0" hidden="false" customHeight="tru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4" t="n">
        <f aca="false">Resultados!H2</f>
        <v>4</v>
      </c>
      <c r="F2" s="5" t="n">
        <f aca="false">Resultados!I2</f>
        <v>390.512</v>
      </c>
      <c r="G2" s="3" t="s">
        <v>11</v>
      </c>
    </row>
    <row r="3" customFormat="false" ht="30" hidden="false" customHeight="true" outlineLevel="0" collapsed="false">
      <c r="A3" s="2" t="s">
        <v>12</v>
      </c>
      <c r="B3" s="3" t="s">
        <v>13</v>
      </c>
      <c r="C3" s="3" t="s">
        <v>14</v>
      </c>
      <c r="D3" s="3" t="s">
        <v>15</v>
      </c>
      <c r="E3" s="4" t="n">
        <f aca="false">Resultados!H3</f>
        <v>4</v>
      </c>
      <c r="F3" s="5" t="n">
        <f aca="false">Resultados!I3</f>
        <v>437.1645</v>
      </c>
      <c r="G3" s="3" t="s">
        <v>16</v>
      </c>
    </row>
    <row r="4" customFormat="false" ht="30" hidden="false" customHeight="true" outlineLevel="0" collapsed="false">
      <c r="A4" s="2" t="s">
        <v>17</v>
      </c>
      <c r="B4" s="3" t="s">
        <v>18</v>
      </c>
      <c r="C4" s="3" t="s">
        <v>19</v>
      </c>
      <c r="D4" s="3" t="s">
        <v>15</v>
      </c>
      <c r="E4" s="4" t="n">
        <f aca="false">Resultados!H4</f>
        <v>4</v>
      </c>
      <c r="F4" s="5" t="n">
        <f aca="false">Resultados!I4</f>
        <v>415.82175</v>
      </c>
      <c r="G4" s="3" t="s">
        <v>20</v>
      </c>
    </row>
    <row r="5" customFormat="false" ht="30" hidden="false" customHeight="true" outlineLevel="0" collapsed="false">
      <c r="A5" s="2" t="s">
        <v>21</v>
      </c>
      <c r="B5" s="3" t="s">
        <v>22</v>
      </c>
      <c r="C5" s="3" t="s">
        <v>23</v>
      </c>
      <c r="D5" s="3" t="s">
        <v>15</v>
      </c>
      <c r="E5" s="4" t="n">
        <f aca="false">Resultados!H5</f>
        <v>4</v>
      </c>
      <c r="F5" s="5" t="n">
        <f aca="false">Resultados!I5</f>
        <v>440.06725</v>
      </c>
      <c r="G5" s="3" t="s">
        <v>24</v>
      </c>
    </row>
    <row r="6" customFormat="false" ht="30" hidden="false" customHeight="true" outlineLevel="0" collapsed="false">
      <c r="A6" s="2" t="s">
        <v>25</v>
      </c>
      <c r="B6" s="3" t="s">
        <v>26</v>
      </c>
      <c r="C6" s="3" t="s">
        <v>27</v>
      </c>
      <c r="D6" s="3" t="s">
        <v>28</v>
      </c>
      <c r="E6" s="4" t="n">
        <f aca="false">Resultados!H6</f>
        <v>2</v>
      </c>
      <c r="F6" s="5" t="n">
        <f aca="false">Resultados!I6</f>
        <v>397.183</v>
      </c>
      <c r="G6" s="3" t="s">
        <v>29</v>
      </c>
    </row>
    <row r="7" customFormat="false" ht="30" hidden="false" customHeight="true" outlineLevel="0" collapsed="false">
      <c r="A7" s="2" t="s">
        <v>30</v>
      </c>
      <c r="B7" s="3" t="s">
        <v>31</v>
      </c>
      <c r="C7" s="3" t="s">
        <v>32</v>
      </c>
      <c r="D7" s="3" t="s">
        <v>28</v>
      </c>
      <c r="E7" s="4" t="n">
        <f aca="false">Resultados!H7</f>
        <v>2</v>
      </c>
      <c r="F7" s="5" t="n">
        <f aca="false">Resultados!I7</f>
        <v>440.965</v>
      </c>
      <c r="G7" s="3" t="s">
        <v>33</v>
      </c>
    </row>
    <row r="8" customFormat="false" ht="30" hidden="false" customHeight="true" outlineLevel="0" collapsed="false">
      <c r="A8" s="2" t="s">
        <v>34</v>
      </c>
      <c r="B8" s="3" t="s">
        <v>35</v>
      </c>
      <c r="C8" s="3" t="s">
        <v>36</v>
      </c>
      <c r="D8" s="3" t="s">
        <v>37</v>
      </c>
      <c r="E8" s="4" t="n">
        <f aca="false">Resultados!H8</f>
        <v>0</v>
      </c>
      <c r="F8" s="5" t="str">
        <f aca="false">Resultados!I8</f>
        <v/>
      </c>
      <c r="G8" s="3" t="s">
        <v>38</v>
      </c>
    </row>
    <row r="9" customFormat="false" ht="30" hidden="false" customHeight="true" outlineLevel="0" collapsed="false">
      <c r="A9" s="2" t="s">
        <v>39</v>
      </c>
      <c r="B9" s="3" t="s">
        <v>40</v>
      </c>
      <c r="C9" s="3" t="s">
        <v>41</v>
      </c>
      <c r="D9" s="3" t="s">
        <v>37</v>
      </c>
      <c r="E9" s="4" t="n">
        <f aca="false">Resultados!H9</f>
        <v>0</v>
      </c>
      <c r="F9" s="5" t="str">
        <f aca="false">Resultados!I9</f>
        <v/>
      </c>
      <c r="G9" s="3" t="s">
        <v>38</v>
      </c>
    </row>
    <row r="10" customFormat="false" ht="30" hidden="false" customHeight="true" outlineLevel="0" collapsed="false">
      <c r="A10" s="2" t="s">
        <v>42</v>
      </c>
      <c r="B10" s="3" t="s">
        <v>43</v>
      </c>
      <c r="C10" s="3" t="s">
        <v>44</v>
      </c>
      <c r="D10" s="3" t="s">
        <v>45</v>
      </c>
      <c r="E10" s="4" t="n">
        <f aca="false">Resultados!H10</f>
        <v>10</v>
      </c>
      <c r="F10" s="5" t="n">
        <f aca="false">Resultados!I10</f>
        <v>414.7007</v>
      </c>
      <c r="G10" s="3" t="s">
        <v>46</v>
      </c>
    </row>
    <row r="11" customFormat="false" ht="43.5" hidden="false" customHeight="true" outlineLevel="0" collapsed="false">
      <c r="A11" s="2" t="s">
        <v>47</v>
      </c>
      <c r="B11" s="3" t="s">
        <v>48</v>
      </c>
      <c r="C11" s="3" t="s">
        <v>49</v>
      </c>
      <c r="D11" s="3" t="s">
        <v>50</v>
      </c>
      <c r="E11" s="4" t="n">
        <f aca="false">Resultados!H11</f>
        <v>1</v>
      </c>
      <c r="F11" s="5" t="n">
        <f aca="false">Resultados!I11</f>
        <v>417.988</v>
      </c>
      <c r="G11" s="3" t="s">
        <v>51</v>
      </c>
    </row>
    <row r="12" customFormat="false" ht="43.5" hidden="false" customHeight="true" outlineLevel="0" collapsed="false">
      <c r="A12" s="2" t="s">
        <v>52</v>
      </c>
      <c r="B12" s="3" t="s">
        <v>53</v>
      </c>
      <c r="C12" s="3" t="s">
        <v>54</v>
      </c>
      <c r="D12" s="3" t="s">
        <v>55</v>
      </c>
      <c r="E12" s="4" t="n">
        <f aca="false">Resultados!H12</f>
        <v>1</v>
      </c>
      <c r="F12" s="5" t="n">
        <f aca="false">Resultados!I12</f>
        <v>411.989</v>
      </c>
      <c r="G12" s="3" t="s">
        <v>56</v>
      </c>
    </row>
    <row r="13" customFormat="false" ht="43.5" hidden="false" customHeight="true" outlineLevel="0" collapsed="false">
      <c r="A13" s="2" t="s">
        <v>57</v>
      </c>
      <c r="B13" s="3" t="s">
        <v>58</v>
      </c>
      <c r="C13" s="3" t="s">
        <v>59</v>
      </c>
      <c r="D13" s="3" t="s">
        <v>60</v>
      </c>
      <c r="E13" s="4" t="n">
        <f aca="false">Resultados!H13</f>
        <v>0</v>
      </c>
      <c r="F13" s="5" t="str">
        <f aca="false">Resultados!I13</f>
        <v/>
      </c>
      <c r="G13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1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2" min="11" style="0" width="10"/>
  </cols>
  <sheetData>
    <row r="1" customFormat="false" ht="23.85" hidden="false" customHeight="false" outlineLevel="0" collapsed="false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4</v>
      </c>
      <c r="I1" s="1" t="s">
        <v>5</v>
      </c>
      <c r="J1" s="1" t="s">
        <v>68</v>
      </c>
      <c r="K1" s="1" t="s">
        <v>69</v>
      </c>
      <c r="L1" s="1" t="s">
        <v>70</v>
      </c>
    </row>
    <row r="2" customFormat="false" ht="15.75" hidden="false" customHeight="true" outlineLevel="0" collapsed="false">
      <c r="A2" s="2" t="s">
        <v>7</v>
      </c>
      <c r="B2" s="3" t="s">
        <v>71</v>
      </c>
      <c r="C2" s="6" t="n">
        <v>390.823</v>
      </c>
      <c r="D2" s="6" t="n">
        <v>395.044</v>
      </c>
      <c r="E2" s="6" t="n">
        <v>383.887</v>
      </c>
      <c r="F2" s="6" t="n">
        <v>392.294</v>
      </c>
      <c r="G2" s="6"/>
      <c r="H2" s="7" t="n">
        <f aca="false">COUNT(C2:G2)</f>
        <v>4</v>
      </c>
      <c r="I2" s="8" t="n">
        <f aca="false">IFERROR(AVERAGE(C2:G2),"")</f>
        <v>390.512</v>
      </c>
      <c r="J2" s="8" t="n">
        <f aca="false">IFERROR(AVERAGE(D2:G2),"")</f>
        <v>390.408333333333</v>
      </c>
      <c r="K2" s="8" t="n">
        <f aca="false">IF(H2=0,"",MIN(C2:G2))</f>
        <v>383.887</v>
      </c>
      <c r="L2" s="8" t="n">
        <f aca="false">IF(H2=0,"",MAX(C2:G2))</f>
        <v>395.044</v>
      </c>
    </row>
    <row r="3" customFormat="false" ht="15.75" hidden="false" customHeight="true" outlineLevel="0" collapsed="false">
      <c r="A3" s="2" t="s">
        <v>12</v>
      </c>
      <c r="B3" s="3" t="s">
        <v>72</v>
      </c>
      <c r="C3" s="6" t="n">
        <v>440.813</v>
      </c>
      <c r="D3" s="6" t="n">
        <v>441.451</v>
      </c>
      <c r="E3" s="6" t="n">
        <v>428.933</v>
      </c>
      <c r="F3" s="6" t="n">
        <v>437.461</v>
      </c>
      <c r="G3" s="6"/>
      <c r="H3" s="7" t="n">
        <f aca="false">COUNT(C3:G3)</f>
        <v>4</v>
      </c>
      <c r="I3" s="8" t="n">
        <f aca="false">IFERROR(AVERAGE(C3:G3),"")</f>
        <v>437.1645</v>
      </c>
      <c r="J3" s="8" t="n">
        <f aca="false">IFERROR(AVERAGE(D3:G3),"")</f>
        <v>435.948333333333</v>
      </c>
      <c r="K3" s="8" t="n">
        <f aca="false">IF(H3=0,"",MIN(C3:G3))</f>
        <v>428.933</v>
      </c>
      <c r="L3" s="8" t="n">
        <f aca="false">IF(H3=0,"",MAX(C3:G3))</f>
        <v>441.451</v>
      </c>
    </row>
    <row r="4" customFormat="false" ht="15.75" hidden="false" customHeight="true" outlineLevel="0" collapsed="false">
      <c r="A4" s="2" t="s">
        <v>17</v>
      </c>
      <c r="B4" s="3" t="s">
        <v>73</v>
      </c>
      <c r="C4" s="6" t="n">
        <v>410.118</v>
      </c>
      <c r="D4" s="6" t="n">
        <v>418.711</v>
      </c>
      <c r="E4" s="6" t="n">
        <v>422.331</v>
      </c>
      <c r="F4" s="6" t="n">
        <v>412.127</v>
      </c>
      <c r="G4" s="6"/>
      <c r="H4" s="7" t="n">
        <f aca="false">COUNT(C4:G4)</f>
        <v>4</v>
      </c>
      <c r="I4" s="8" t="n">
        <f aca="false">IFERROR(AVERAGE(C4:G4),"")</f>
        <v>415.82175</v>
      </c>
      <c r="J4" s="8" t="n">
        <f aca="false">IFERROR(AVERAGE(D4:G4),"")</f>
        <v>417.723</v>
      </c>
      <c r="K4" s="8" t="n">
        <f aca="false">IF(H4=0,"",MIN(C4:G4))</f>
        <v>410.118</v>
      </c>
      <c r="L4" s="8" t="n">
        <f aca="false">IF(H4=0,"",MAX(C4:G4))</f>
        <v>422.331</v>
      </c>
    </row>
    <row r="5" customFormat="false" ht="15.75" hidden="false" customHeight="true" outlineLevel="0" collapsed="false">
      <c r="A5" s="2" t="s">
        <v>21</v>
      </c>
      <c r="B5" s="3" t="s">
        <v>74</v>
      </c>
      <c r="C5" s="6" t="n">
        <v>449.294</v>
      </c>
      <c r="D5" s="6" t="n">
        <v>430.526</v>
      </c>
      <c r="E5" s="6" t="n">
        <v>437.803</v>
      </c>
      <c r="F5" s="6" t="n">
        <v>442.646</v>
      </c>
      <c r="G5" s="6"/>
      <c r="H5" s="7" t="n">
        <f aca="false">COUNT(C5:G5)</f>
        <v>4</v>
      </c>
      <c r="I5" s="8" t="n">
        <f aca="false">IFERROR(AVERAGE(C5:G5),"")</f>
        <v>440.06725</v>
      </c>
      <c r="J5" s="8" t="n">
        <f aca="false">IFERROR(AVERAGE(D5:G5),"")</f>
        <v>436.991666666667</v>
      </c>
      <c r="K5" s="8" t="n">
        <f aca="false">IF(H5=0,"",MIN(C5:G5))</f>
        <v>430.526</v>
      </c>
      <c r="L5" s="8" t="n">
        <f aca="false">IF(H5=0,"",MAX(C5:G5))</f>
        <v>449.294</v>
      </c>
    </row>
    <row r="6" customFormat="false" ht="15.75" hidden="false" customHeight="true" outlineLevel="0" collapsed="false">
      <c r="A6" s="2" t="s">
        <v>25</v>
      </c>
      <c r="B6" s="3" t="s">
        <v>75</v>
      </c>
      <c r="C6" s="6"/>
      <c r="D6" s="6"/>
      <c r="E6" s="6" t="n">
        <v>393.655</v>
      </c>
      <c r="F6" s="6" t="n">
        <v>400.711</v>
      </c>
      <c r="G6" s="6"/>
      <c r="H6" s="7" t="n">
        <f aca="false">COUNT(C6:G6)</f>
        <v>2</v>
      </c>
      <c r="I6" s="8" t="n">
        <f aca="false">IFERROR(AVERAGE(C6:G6),"")</f>
        <v>397.183</v>
      </c>
      <c r="J6" s="8" t="n">
        <f aca="false">IFERROR(AVERAGE(D6:G6),"")</f>
        <v>397.183</v>
      </c>
      <c r="K6" s="8" t="n">
        <f aca="false">IF(H6=0,"",MIN(C6:G6))</f>
        <v>393.655</v>
      </c>
      <c r="L6" s="8" t="n">
        <f aca="false">IF(H6=0,"",MAX(C6:G6))</f>
        <v>400.711</v>
      </c>
    </row>
    <row r="7" customFormat="false" ht="15.75" hidden="false" customHeight="true" outlineLevel="0" collapsed="false">
      <c r="A7" s="2" t="s">
        <v>30</v>
      </c>
      <c r="B7" s="3" t="s">
        <v>76</v>
      </c>
      <c r="C7" s="6"/>
      <c r="D7" s="6"/>
      <c r="E7" s="6" t="n">
        <v>438.942</v>
      </c>
      <c r="F7" s="6" t="n">
        <v>442.988</v>
      </c>
      <c r="G7" s="6"/>
      <c r="H7" s="7" t="n">
        <f aca="false">COUNT(C7:G7)</f>
        <v>2</v>
      </c>
      <c r="I7" s="8" t="n">
        <f aca="false">IFERROR(AVERAGE(C7:G7),"")</f>
        <v>440.965</v>
      </c>
      <c r="J7" s="8" t="n">
        <f aca="false">IFERROR(AVERAGE(D7:G7),"")</f>
        <v>440.965</v>
      </c>
      <c r="K7" s="8" t="n">
        <f aca="false">IF(H7=0,"",MIN(C7:G7))</f>
        <v>438.942</v>
      </c>
      <c r="L7" s="8" t="n">
        <f aca="false">IF(H7=0,"",MAX(C7:G7))</f>
        <v>442.988</v>
      </c>
    </row>
    <row r="8" customFormat="false" ht="15.75" hidden="false" customHeight="true" outlineLevel="0" collapsed="false">
      <c r="A8" s="2" t="s">
        <v>34</v>
      </c>
      <c r="B8" s="3" t="s">
        <v>77</v>
      </c>
      <c r="C8" s="6"/>
      <c r="D8" s="6"/>
      <c r="E8" s="6"/>
      <c r="F8" s="6"/>
      <c r="G8" s="6"/>
      <c r="H8" s="7" t="n">
        <f aca="false">COUNT(C8:G8)</f>
        <v>0</v>
      </c>
      <c r="I8" s="8" t="str">
        <f aca="false">IFERROR(AVERAGE(C8:G8),"")</f>
        <v/>
      </c>
      <c r="J8" s="8" t="str">
        <f aca="false">IFERROR(AVERAGE(D8:G8),"")</f>
        <v/>
      </c>
      <c r="K8" s="8" t="str">
        <f aca="false">IF(H8=0,"",MIN(C8:G8))</f>
        <v/>
      </c>
      <c r="L8" s="8" t="str">
        <f aca="false">IF(H8=0,"",MAX(C8:G8))</f>
        <v/>
      </c>
    </row>
    <row r="9" customFormat="false" ht="15.75" hidden="false" customHeight="true" outlineLevel="0" collapsed="false">
      <c r="A9" s="2" t="s">
        <v>39</v>
      </c>
      <c r="B9" s="3" t="s">
        <v>78</v>
      </c>
      <c r="C9" s="6"/>
      <c r="D9" s="6"/>
      <c r="E9" s="6"/>
      <c r="F9" s="6"/>
      <c r="G9" s="6"/>
      <c r="H9" s="7" t="n">
        <f aca="false">COUNT(C9:G9)</f>
        <v>0</v>
      </c>
      <c r="I9" s="8" t="str">
        <f aca="false">IFERROR(AVERAGE(C9:G9),"")</f>
        <v/>
      </c>
      <c r="J9" s="8" t="str">
        <f aca="false">IFERROR(AVERAGE(D9:G9),"")</f>
        <v/>
      </c>
      <c r="K9" s="8" t="str">
        <f aca="false">IF(H9=0,"",MIN(C9:G9))</f>
        <v/>
      </c>
      <c r="L9" s="8" t="str">
        <f aca="false">IF(H9=0,"",MAX(C9:G9))</f>
        <v/>
      </c>
    </row>
    <row r="10" customFormat="false" ht="30" hidden="false" customHeight="true" outlineLevel="0" collapsed="false">
      <c r="A10" s="2" t="s">
        <v>42</v>
      </c>
      <c r="B10" s="3" t="s">
        <v>79</v>
      </c>
      <c r="C10" s="5" t="str">
        <f aca="false">IFERROR(INDEX('Semillas de I'!$B$2:$B$11,MATCH(102191,'Semillas de I'!$A$2:$A$11,0)),"")</f>
        <v/>
      </c>
      <c r="D10" s="5" t="str">
        <f aca="false">IFERROR(INDEX('Semillas de I'!$B$2:$B$11,MATCH(130517,'Semillas de I'!$A$2:$A$11,0)),"")</f>
        <v/>
      </c>
      <c r="E10" s="5" t="n">
        <f aca="false">IFERROR(INDEX('Semillas de I'!$B$2:$B$11,MATCH(345679,'Semillas de I'!$A$2:$A$11,0)),"")</f>
        <v>412.683</v>
      </c>
      <c r="F10" s="5" t="n">
        <f aca="false">IFERROR(INDEX('Semillas de I'!$B$2:$B$11,MATCH(500009,'Semillas de I'!$A$2:$A$11,0)),"")</f>
        <v>410.572</v>
      </c>
      <c r="G10" s="5" t="n">
        <f aca="false">IFERROR(INDEX('Semillas de I'!$B$2:$B$11,MATCH(630901,'Semillas de I'!$A$2:$A$11,0)),"")</f>
        <v>415.563</v>
      </c>
      <c r="H10" s="4" t="n">
        <f aca="false">COUNT('Semillas de I'!B2:B11)</f>
        <v>10</v>
      </c>
      <c r="I10" s="5" t="n">
        <f aca="false">AVERAGE('Semillas de I'!B2:B11)</f>
        <v>414.7007</v>
      </c>
      <c r="J10" s="5" t="n">
        <f aca="false">I10</f>
        <v>414.7007</v>
      </c>
      <c r="K10" s="5" t="n">
        <f aca="false">MIN('Semillas de I'!B2:B11)</f>
        <v>406.628</v>
      </c>
      <c r="L10" s="5" t="n">
        <f aca="false">MAX('Semillas de I'!B2:B11)</f>
        <v>431.535</v>
      </c>
    </row>
    <row r="11" customFormat="false" ht="15.75" hidden="false" customHeight="true" outlineLevel="0" collapsed="false">
      <c r="A11" s="2" t="s">
        <v>47</v>
      </c>
      <c r="B11" s="3" t="s">
        <v>80</v>
      </c>
      <c r="C11" s="6"/>
      <c r="D11" s="6"/>
      <c r="E11" s="6"/>
      <c r="F11" s="6" t="n">
        <v>417.988</v>
      </c>
      <c r="G11" s="6"/>
      <c r="H11" s="7" t="n">
        <f aca="false">COUNT(C11:G11)</f>
        <v>1</v>
      </c>
      <c r="I11" s="8" t="n">
        <f aca="false">IFERROR(AVERAGE(C11:G11),"")</f>
        <v>417.988</v>
      </c>
      <c r="J11" s="8" t="n">
        <f aca="false">IFERROR(AVERAGE(D11:G11),"")</f>
        <v>417.988</v>
      </c>
      <c r="K11" s="8" t="n">
        <f aca="false">IF(H11=0,"",MIN(C11:G11))</f>
        <v>417.988</v>
      </c>
      <c r="L11" s="8" t="n">
        <f aca="false">IF(H11=0,"",MAX(C11:G11))</f>
        <v>417.988</v>
      </c>
    </row>
    <row r="12" customFormat="false" ht="30" hidden="false" customHeight="true" outlineLevel="0" collapsed="false">
      <c r="A12" s="2" t="s">
        <v>52</v>
      </c>
      <c r="B12" s="3" t="s">
        <v>81</v>
      </c>
      <c r="C12" s="6"/>
      <c r="D12" s="6"/>
      <c r="E12" s="6" t="n">
        <v>411.989</v>
      </c>
      <c r="F12" s="6"/>
      <c r="G12" s="6"/>
      <c r="H12" s="7" t="n">
        <f aca="false">COUNT(C12:G12)</f>
        <v>1</v>
      </c>
      <c r="I12" s="8" t="n">
        <f aca="false">IFERROR(AVERAGE(C12:G12),"")</f>
        <v>411.989</v>
      </c>
      <c r="J12" s="8" t="n">
        <f aca="false">IFERROR(AVERAGE(D12:G12),"")</f>
        <v>411.989</v>
      </c>
      <c r="K12" s="8" t="n">
        <f aca="false">IF(H12=0,"",MIN(C12:G12))</f>
        <v>411.989</v>
      </c>
      <c r="L12" s="8" t="n">
        <f aca="false">IF(H12=0,"",MAX(C12:G12))</f>
        <v>411.989</v>
      </c>
    </row>
    <row r="13" customFormat="false" ht="30" hidden="false" customHeight="true" outlineLevel="0" collapsed="false">
      <c r="A13" s="2" t="s">
        <v>57</v>
      </c>
      <c r="B13" s="3" t="s">
        <v>82</v>
      </c>
      <c r="C13" s="6"/>
      <c r="D13" s="6"/>
      <c r="E13" s="6"/>
      <c r="F13" s="6"/>
      <c r="G13" s="6"/>
      <c r="H13" s="7" t="n">
        <f aca="false">COUNT(C13:G13)</f>
        <v>0</v>
      </c>
      <c r="I13" s="8" t="str">
        <f aca="false">IFERROR(AVERAGE(C13:G13),"")</f>
        <v/>
      </c>
      <c r="J13" s="8" t="str">
        <f aca="false">IFERROR(AVERAGE(D13:G13),"")</f>
        <v/>
      </c>
      <c r="K13" s="8" t="str">
        <f aca="false">IF(H13=0,"",MIN(C13:G13))</f>
        <v/>
      </c>
      <c r="L13" s="8" t="str">
        <f aca="false">IF(H13=0,"",MAX(C13:G13))</f>
        <v/>
      </c>
    </row>
    <row r="15" customFormat="false" ht="27.75" hidden="false" customHeight="true" outlineLevel="0" collapsed="false">
      <c r="A15" s="9" t="s">
        <v>83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27.75" hidden="false" customHeight="true" outlineLevel="0" collapsed="false">
      <c r="A16" s="9" t="s">
        <v>84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27.75" hidden="false" customHeight="true" outlineLevel="0" collapsed="false">
      <c r="A17" s="9" t="s">
        <v>85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</sheetData>
  <mergeCells count="3">
    <mergeCell ref="A15:L15"/>
    <mergeCell ref="A16:L16"/>
    <mergeCell ref="A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86</v>
      </c>
      <c r="B1" s="1" t="s">
        <v>87</v>
      </c>
    </row>
    <row r="2" customFormat="false" ht="15" hidden="false" customHeight="false" outlineLevel="0" collapsed="false">
      <c r="A2" s="10" t="n">
        <v>100043</v>
      </c>
      <c r="B2" s="6" t="n">
        <v>431.535</v>
      </c>
    </row>
    <row r="3" customFormat="false" ht="15" hidden="false" customHeight="false" outlineLevel="0" collapsed="false">
      <c r="A3" s="10" t="n">
        <v>345679</v>
      </c>
      <c r="B3" s="6" t="n">
        <v>412.683</v>
      </c>
    </row>
    <row r="4" customFormat="false" ht="15" hidden="false" customHeight="false" outlineLevel="0" collapsed="false">
      <c r="A4" s="10" t="n">
        <v>375017</v>
      </c>
      <c r="B4" s="6" t="n">
        <v>412.026</v>
      </c>
    </row>
    <row r="5" customFormat="false" ht="15" hidden="false" customHeight="false" outlineLevel="0" collapsed="false">
      <c r="A5" s="10" t="n">
        <v>450343</v>
      </c>
      <c r="B5" s="6" t="n">
        <v>406.628</v>
      </c>
    </row>
    <row r="6" customFormat="false" ht="15" hidden="false" customHeight="false" outlineLevel="0" collapsed="false">
      <c r="A6" s="10" t="n">
        <v>500009</v>
      </c>
      <c r="B6" s="6" t="n">
        <v>410.572</v>
      </c>
    </row>
    <row r="7" customFormat="false" ht="15" hidden="false" customHeight="false" outlineLevel="0" collapsed="false">
      <c r="A7" s="10" t="n">
        <v>555557</v>
      </c>
      <c r="B7" s="6" t="n">
        <v>411.646</v>
      </c>
    </row>
    <row r="8" customFormat="false" ht="15" hidden="false" customHeight="false" outlineLevel="0" collapsed="false">
      <c r="A8" s="10" t="n">
        <v>630901</v>
      </c>
      <c r="B8" s="6" t="n">
        <v>415.563</v>
      </c>
    </row>
    <row r="9" customFormat="false" ht="15" hidden="false" customHeight="false" outlineLevel="0" collapsed="false">
      <c r="A9" s="10" t="n">
        <v>715009</v>
      </c>
      <c r="B9" s="6" t="n">
        <v>409.581</v>
      </c>
    </row>
    <row r="10" customFormat="false" ht="15" hidden="false" customHeight="false" outlineLevel="0" collapsed="false">
      <c r="A10" s="10" t="n">
        <v>724427</v>
      </c>
      <c r="B10" s="6" t="n">
        <v>414.451</v>
      </c>
    </row>
    <row r="11" customFormat="false" ht="15" hidden="false" customHeight="false" outlineLevel="0" collapsed="false">
      <c r="A11" s="10" t="n">
        <v>999907</v>
      </c>
      <c r="B11" s="6" t="n">
        <v>422.322</v>
      </c>
    </row>
    <row r="12" customFormat="false" ht="15" hidden="false" customHeight="false" outlineLevel="0" collapsed="false">
      <c r="A12" s="2" t="s">
        <v>5</v>
      </c>
      <c r="B12" s="11" t="n">
        <f aca="false">AVERAGE(B2:B11)</f>
        <v>414.7007</v>
      </c>
    </row>
    <row r="13" customFormat="false" ht="15" hidden="false" customHeight="false" outlineLevel="0" collapsed="false">
      <c r="A13" s="2" t="s">
        <v>88</v>
      </c>
      <c r="B13" s="11" t="n">
        <f aca="false">STDEV(B2:B11)</f>
        <v>7.23622126757698</v>
      </c>
    </row>
    <row r="14" customFormat="false" ht="15" hidden="false" customHeight="false" outlineLevel="0" collapsed="false">
      <c r="A14" s="2" t="s">
        <v>89</v>
      </c>
      <c r="B14" s="11" t="n">
        <f aca="false">MAX(B2:B11)-MIN(B2:B11)</f>
        <v>24.907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24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1" t="s">
        <v>2</v>
      </c>
      <c r="B1" s="1" t="s">
        <v>90</v>
      </c>
      <c r="C1" s="1" t="s">
        <v>91</v>
      </c>
      <c r="D1" s="1" t="s">
        <v>92</v>
      </c>
      <c r="E1" s="1" t="s">
        <v>93</v>
      </c>
    </row>
    <row r="2" customFormat="false" ht="30" hidden="false" customHeight="true" outlineLevel="0" collapsed="false">
      <c r="A2" s="3" t="s">
        <v>94</v>
      </c>
      <c r="B2" s="3" t="s">
        <v>95</v>
      </c>
      <c r="C2" s="3" t="s">
        <v>96</v>
      </c>
      <c r="D2" s="12" t="s">
        <v>97</v>
      </c>
      <c r="E2" s="3" t="s">
        <v>98</v>
      </c>
    </row>
    <row r="3" customFormat="false" ht="30" hidden="false" customHeight="true" outlineLevel="0" collapsed="false">
      <c r="A3" s="3" t="s">
        <v>99</v>
      </c>
      <c r="B3" s="3" t="s">
        <v>100</v>
      </c>
      <c r="C3" s="3" t="s">
        <v>101</v>
      </c>
      <c r="D3" s="12" t="s">
        <v>102</v>
      </c>
      <c r="E3" s="3" t="s">
        <v>103</v>
      </c>
    </row>
    <row r="4" customFormat="false" ht="30" hidden="false" customHeight="true" outlineLevel="0" collapsed="false">
      <c r="A4" s="3" t="s">
        <v>104</v>
      </c>
      <c r="B4" s="3" t="s">
        <v>105</v>
      </c>
      <c r="C4" s="3" t="s">
        <v>106</v>
      </c>
      <c r="D4" s="12" t="s">
        <v>97</v>
      </c>
      <c r="E4" s="3" t="s">
        <v>107</v>
      </c>
    </row>
    <row r="5" customFormat="false" ht="30" hidden="false" customHeight="true" outlineLevel="0" collapsed="false">
      <c r="A5" s="3" t="s">
        <v>108</v>
      </c>
      <c r="B5" s="3" t="s">
        <v>109</v>
      </c>
      <c r="C5" s="3" t="s">
        <v>110</v>
      </c>
      <c r="D5" s="12" t="s">
        <v>111</v>
      </c>
      <c r="E5" s="3" t="s">
        <v>112</v>
      </c>
    </row>
    <row r="6" customFormat="false" ht="30" hidden="false" customHeight="true" outlineLevel="0" collapsed="false">
      <c r="A6" s="3" t="s">
        <v>113</v>
      </c>
      <c r="B6" s="3" t="s">
        <v>114</v>
      </c>
      <c r="C6" s="3" t="s">
        <v>115</v>
      </c>
      <c r="D6" s="12" t="s">
        <v>116</v>
      </c>
      <c r="E6" s="3" t="s">
        <v>117</v>
      </c>
    </row>
    <row r="7" customFormat="false" ht="30" hidden="false" customHeight="true" outlineLevel="0" collapsed="false">
      <c r="A7" s="3" t="s">
        <v>118</v>
      </c>
      <c r="B7" s="3" t="s">
        <v>119</v>
      </c>
      <c r="C7" s="3" t="s">
        <v>120</v>
      </c>
      <c r="D7" s="12" t="s">
        <v>116</v>
      </c>
      <c r="E7" s="3" t="s">
        <v>121</v>
      </c>
    </row>
    <row r="8" customFormat="false" ht="15.75" hidden="false" customHeight="true" outlineLevel="0" collapsed="false">
      <c r="A8" s="3" t="s">
        <v>122</v>
      </c>
      <c r="B8" s="3" t="s">
        <v>123</v>
      </c>
      <c r="C8" s="3" t="s">
        <v>124</v>
      </c>
      <c r="D8" s="12" t="s">
        <v>125</v>
      </c>
      <c r="E8" s="3" t="s">
        <v>126</v>
      </c>
    </row>
    <row r="9" customFormat="false" ht="30" hidden="false" customHeight="true" outlineLevel="0" collapsed="false">
      <c r="A9" s="3" t="s">
        <v>127</v>
      </c>
      <c r="B9" s="3" t="s">
        <v>128</v>
      </c>
      <c r="C9" s="3" t="s">
        <v>129</v>
      </c>
      <c r="D9" s="12" t="s">
        <v>130</v>
      </c>
      <c r="E9" s="3" t="s">
        <v>131</v>
      </c>
    </row>
    <row r="10" customFormat="false" ht="30" hidden="false" customHeight="true" outlineLevel="0" collapsed="false">
      <c r="A10" s="3" t="s">
        <v>132</v>
      </c>
      <c r="B10" s="3" t="s">
        <v>133</v>
      </c>
      <c r="C10" s="3" t="s">
        <v>134</v>
      </c>
      <c r="D10" s="12" t="s">
        <v>135</v>
      </c>
      <c r="E10" s="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3" t="s">
        <v>137</v>
      </c>
    </row>
    <row r="3" customFormat="false" ht="18" hidden="false" customHeight="true" outlineLevel="0" collapsed="false">
      <c r="A3" s="14" t="s">
        <v>138</v>
      </c>
    </row>
    <row r="4" customFormat="false" ht="33.75" hidden="false" customHeight="true" outlineLevel="0" collapsed="false">
      <c r="A4" s="14" t="s">
        <v>139</v>
      </c>
    </row>
    <row r="5" customFormat="false" ht="33.75" hidden="false" customHeight="true" outlineLevel="0" collapsed="false">
      <c r="A5" s="14" t="s">
        <v>140</v>
      </c>
    </row>
    <row r="6" customFormat="false" ht="33.75" hidden="false" customHeight="true" outlineLevel="0" collapsed="false">
      <c r="A6" s="14" t="s">
        <v>141</v>
      </c>
    </row>
    <row r="7" customFormat="false" ht="33.75" hidden="false" customHeight="true" outlineLevel="0" collapsed="false">
      <c r="A7" s="14" t="s">
        <v>142</v>
      </c>
    </row>
    <row r="8" customFormat="false" ht="33.75" hidden="false" customHeight="true" outlineLevel="0" collapsed="false">
      <c r="A8" s="14" t="s">
        <v>143</v>
      </c>
    </row>
    <row r="9" customFormat="false" ht="33.75" hidden="false" customHeight="true" outlineLevel="0" collapsed="false">
      <c r="A9" s="14" t="s">
        <v>144</v>
      </c>
    </row>
    <row r="10" customFormat="false" ht="33.75" hidden="false" customHeight="true" outlineLevel="0" collapsed="false">
      <c r="A10" s="14" t="s">
        <v>145</v>
      </c>
    </row>
    <row r="11" customFormat="false" ht="18" hidden="false" customHeight="true" outlineLevel="0" collapsed="false">
      <c r="A11" s="1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2026-10-18T14:22:10Z</dcterms:created>
  <dc:creator>openpyxl</dc:creator>
  <dc:description/>
  <dc:language>en-US</dc:language>
  <cp:lastModifiedBy/>
  <dcterms:modified xsi:type="dcterms:W3CDTF">2026-10-18T14:22:10Z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